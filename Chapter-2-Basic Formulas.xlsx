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NELS\Learn More\Excel Masterclass\"/>
    </mc:Choice>
  </mc:AlternateContent>
  <xr:revisionPtr revIDLastSave="0" documentId="13_ncr:1_{C7D97F3C-793A-4148-996C-53B71C01C25D}" xr6:coauthVersionLast="47" xr6:coauthVersionMax="47" xr10:uidLastSave="{00000000-0000-0000-0000-000000000000}"/>
  <bookViews>
    <workbookView xWindow="22932" yWindow="-108" windowWidth="23256" windowHeight="13176" activeTab="1" xr2:uid="{1411000C-742D-4C15-BD7A-43EA9010AE06}"/>
  </bookViews>
  <sheets>
    <sheet name="Sheet1" sheetId="1" r:id="rId1"/>
    <sheet name="Sales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J2" i="1"/>
  <c r="J3" i="1"/>
  <c r="J4" i="1"/>
  <c r="J5" i="1"/>
  <c r="J6" i="1"/>
  <c r="I3" i="1"/>
  <c r="I4" i="1"/>
  <c r="I5" i="1"/>
  <c r="I6" i="1"/>
  <c r="H3" i="1"/>
  <c r="H4" i="1"/>
  <c r="H5" i="1"/>
  <c r="H6" i="1"/>
  <c r="H2" i="1"/>
  <c r="G3" i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<sst xmlns="http://schemas.openxmlformats.org/spreadsheetml/2006/main" count="273" uniqueCount="142">
  <si>
    <t>SR NO</t>
  </si>
  <si>
    <t>NAME OF STUDENT</t>
  </si>
  <si>
    <t>SUB1</t>
  </si>
  <si>
    <t>SUB2</t>
  </si>
  <si>
    <t>SUB3</t>
  </si>
  <si>
    <t>TOTAL</t>
  </si>
  <si>
    <t>A</t>
  </si>
  <si>
    <t>B</t>
  </si>
  <si>
    <t>C</t>
  </si>
  <si>
    <t>D</t>
  </si>
  <si>
    <t>E</t>
  </si>
  <si>
    <t>Transaction_ID</t>
  </si>
  <si>
    <t>Date</t>
  </si>
  <si>
    <t>Customer_Name</t>
  </si>
  <si>
    <t>Product</t>
  </si>
  <si>
    <t>Units_Sold</t>
  </si>
  <si>
    <t>Price_Per_Unit</t>
  </si>
  <si>
    <t>Total_Sales</t>
  </si>
  <si>
    <t>City</t>
  </si>
  <si>
    <t>T001</t>
  </si>
  <si>
    <t>2024-08-02</t>
  </si>
  <si>
    <t>Pooja</t>
  </si>
  <si>
    <t>Webcam</t>
  </si>
  <si>
    <t>Delhi</t>
  </si>
  <si>
    <t>T002</t>
  </si>
  <si>
    <t>2024-03-24</t>
  </si>
  <si>
    <t>Karan</t>
  </si>
  <si>
    <t>Keyboard</t>
  </si>
  <si>
    <t>Pune</t>
  </si>
  <si>
    <t>T003</t>
  </si>
  <si>
    <t>2024-07-10</t>
  </si>
  <si>
    <t>Sneha</t>
  </si>
  <si>
    <t>Mouse</t>
  </si>
  <si>
    <t>Hyderabad</t>
  </si>
  <si>
    <t>T004</t>
  </si>
  <si>
    <t>2024-02-09</t>
  </si>
  <si>
    <t>Rahul</t>
  </si>
  <si>
    <t>T005</t>
  </si>
  <si>
    <t>2024-07-06</t>
  </si>
  <si>
    <t>Amit</t>
  </si>
  <si>
    <t>Mumbai</t>
  </si>
  <si>
    <t>T006</t>
  </si>
  <si>
    <t>2024-01-18</t>
  </si>
  <si>
    <t>Headphones</t>
  </si>
  <si>
    <t>Bengaluru</t>
  </si>
  <si>
    <t>T007</t>
  </si>
  <si>
    <t>2024-03-11</t>
  </si>
  <si>
    <t>T008</t>
  </si>
  <si>
    <t>2024-03-06</t>
  </si>
  <si>
    <t>T009</t>
  </si>
  <si>
    <t>2024-07-22</t>
  </si>
  <si>
    <t>T010</t>
  </si>
  <si>
    <t>2024-10-09</t>
  </si>
  <si>
    <t>Priya</t>
  </si>
  <si>
    <t>T011</t>
  </si>
  <si>
    <t>2024-04-07</t>
  </si>
  <si>
    <t>Anita</t>
  </si>
  <si>
    <t>Tablet</t>
  </si>
  <si>
    <t>T012</t>
  </si>
  <si>
    <t>2024-06-30</t>
  </si>
  <si>
    <t>T013</t>
  </si>
  <si>
    <t>2024-05-20</t>
  </si>
  <si>
    <t>T014</t>
  </si>
  <si>
    <t>2024-06-24</t>
  </si>
  <si>
    <t>Laptop</t>
  </si>
  <si>
    <t>T015</t>
  </si>
  <si>
    <t>2024-09-01</t>
  </si>
  <si>
    <t>T016</t>
  </si>
  <si>
    <t>2024-01-10</t>
  </si>
  <si>
    <t>T017</t>
  </si>
  <si>
    <t>2024-09-18</t>
  </si>
  <si>
    <t>Neha</t>
  </si>
  <si>
    <t>T018</t>
  </si>
  <si>
    <t>2024-08-21</t>
  </si>
  <si>
    <t>T019</t>
  </si>
  <si>
    <t>2024-01-29</t>
  </si>
  <si>
    <t>Printer</t>
  </si>
  <si>
    <t>T020</t>
  </si>
  <si>
    <t>2024-02-21</t>
  </si>
  <si>
    <t>Chennai</t>
  </si>
  <si>
    <t>T021</t>
  </si>
  <si>
    <t>2024-01-19</t>
  </si>
  <si>
    <t>T022</t>
  </si>
  <si>
    <t>Vikram</t>
  </si>
  <si>
    <t>T023</t>
  </si>
  <si>
    <t>2024-10-04</t>
  </si>
  <si>
    <t>T024</t>
  </si>
  <si>
    <t>2024-04-21</t>
  </si>
  <si>
    <t>T025</t>
  </si>
  <si>
    <t>2024-02-11</t>
  </si>
  <si>
    <t>T026</t>
  </si>
  <si>
    <t>2024-01-15</t>
  </si>
  <si>
    <t>T027</t>
  </si>
  <si>
    <t>2024-08-15</t>
  </si>
  <si>
    <t>T028</t>
  </si>
  <si>
    <t>2024-03-19</t>
  </si>
  <si>
    <t>Monitor</t>
  </si>
  <si>
    <t>T029</t>
  </si>
  <si>
    <t>2024-03-31</t>
  </si>
  <si>
    <t>T030</t>
  </si>
  <si>
    <t>2024-10-19</t>
  </si>
  <si>
    <t>T031</t>
  </si>
  <si>
    <t>2024-05-23</t>
  </si>
  <si>
    <t>T032</t>
  </si>
  <si>
    <t>T033</t>
  </si>
  <si>
    <t>2024-09-15</t>
  </si>
  <si>
    <t>T034</t>
  </si>
  <si>
    <t>2024-01-23</t>
  </si>
  <si>
    <t>T035</t>
  </si>
  <si>
    <t>2024-04-25</t>
  </si>
  <si>
    <t>T036</t>
  </si>
  <si>
    <t>2024-05-08</t>
  </si>
  <si>
    <t>T037</t>
  </si>
  <si>
    <t>2024-01-27</t>
  </si>
  <si>
    <t>T038</t>
  </si>
  <si>
    <t>2024-05-30</t>
  </si>
  <si>
    <t>T039</t>
  </si>
  <si>
    <t>2024-08-25</t>
  </si>
  <si>
    <t>T040</t>
  </si>
  <si>
    <t>2024-02-01</t>
  </si>
  <si>
    <t>T041</t>
  </si>
  <si>
    <t>2024-07-02</t>
  </si>
  <si>
    <t>T042</t>
  </si>
  <si>
    <t>2024-04-10</t>
  </si>
  <si>
    <t>T043</t>
  </si>
  <si>
    <t>2024-09-19</t>
  </si>
  <si>
    <t>T044</t>
  </si>
  <si>
    <t>2024-07-26</t>
  </si>
  <si>
    <t>T045</t>
  </si>
  <si>
    <t>2024-01-08</t>
  </si>
  <si>
    <t>T046</t>
  </si>
  <si>
    <t>T047</t>
  </si>
  <si>
    <t>2024-01-31</t>
  </si>
  <si>
    <t>T048</t>
  </si>
  <si>
    <t>2024-01-05</t>
  </si>
  <si>
    <t>T049</t>
  </si>
  <si>
    <t>T050</t>
  </si>
  <si>
    <t>2024-01-14</t>
  </si>
  <si>
    <t>Max</t>
  </si>
  <si>
    <t>Min</t>
  </si>
  <si>
    <t>Avg</t>
  </si>
  <si>
    <t>%Age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</si>
</sst>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0" xfId="0" applyFont="1" applyBorder="1" applyAlignment="1">
      <alignment horizontal="left" vertical="top"/>
    </xf>
    <xf numFmtId="0" fontId="1" fillId="2" borderId="2" xfId="0" applyFont="1" applyFill="1" applyBorder="1"/>
    <xf numFmtId="0" fontId="0" fillId="0" borderId="2" xfId="0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91D9E-E221-4C18-8D7D-E7CC83B0EFAB}">
  <dimension ref="A1:J7"/>
  <sheetViews>
    <sheetView zoomScale="175" zoomScaleNormal="175" workbookViewId="0">
      <selection activeCell="J2" sqref="J2:J6"/>
    </sheetView>
  </sheetViews>
  <sheetFormatPr defaultRowHeight="14.4" x14ac:dyDescent="0.3"/>
  <cols>
    <col min="1" max="1" width="6.109375" bestFit="1" customWidth="1"/>
    <col min="2" max="2" width="16.5546875" bestFit="1" customWidth="1"/>
    <col min="3" max="5" width="5.44140625" bestFit="1" customWidth="1"/>
    <col min="6" max="6" width="10.5546875" customWidth="1"/>
    <col min="9" max="9" width="9.554687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138</v>
      </c>
      <c r="H1" s="4" t="s">
        <v>139</v>
      </c>
      <c r="I1" s="4" t="s">
        <v>140</v>
      </c>
      <c r="J1" s="4" t="s">
        <v>141</v>
      </c>
    </row>
    <row r="2" spans="1:10" x14ac:dyDescent="0.3">
      <c r="A2" s="1">
        <v>1</v>
      </c>
      <c r="B2" s="1" t="s">
        <v>6</v>
      </c>
      <c r="C2" s="1">
        <v>148</v>
      </c>
      <c r="D2" s="1">
        <v>94</v>
      </c>
      <c r="E2" s="1">
        <v>71</v>
      </c>
      <c r="F2" s="1">
        <f>SUM(C2:E2)</f>
        <v>313</v>
      </c>
      <c r="G2">
        <f>MAX(C2:E2)</f>
        <v>148</v>
      </c>
      <c r="H2">
        <f>MIN(C2:E2)</f>
        <v>71</v>
      </c>
      <c r="I2" s="6">
        <f>AVERAGE(C2:E2)</f>
        <v>104.33333333333333</v>
      </c>
      <c r="J2" s="6">
        <f>F2/350*100</f>
        <v>89.428571428571431</v>
      </c>
    </row>
    <row r="3" spans="1:10" x14ac:dyDescent="0.3">
      <c r="A3" s="1">
        <v>2</v>
      </c>
      <c r="B3" s="1" t="s">
        <v>7</v>
      </c>
      <c r="C3" s="1">
        <v>30</v>
      </c>
      <c r="D3" s="1">
        <v>34</v>
      </c>
      <c r="E3" s="1">
        <v>23</v>
      </c>
      <c r="F3" s="1">
        <f t="shared" ref="F3:F6" si="0">SUM(C3:E3)</f>
        <v>87</v>
      </c>
      <c r="G3">
        <f t="shared" ref="G3:G6" si="1">MAX(C3:E3)</f>
        <v>34</v>
      </c>
      <c r="H3">
        <f t="shared" ref="H3:H6" si="2">MIN(C3:E3)</f>
        <v>23</v>
      </c>
      <c r="I3" s="6">
        <f t="shared" ref="I3:I6" si="3">AVERAGE(C3:E3)</f>
        <v>29</v>
      </c>
      <c r="J3" s="6">
        <f t="shared" ref="J3:J6" si="4">F3/300*100</f>
        <v>28.999999999999996</v>
      </c>
    </row>
    <row r="4" spans="1:10" x14ac:dyDescent="0.3">
      <c r="A4" s="1">
        <v>3</v>
      </c>
      <c r="B4" s="1" t="s">
        <v>8</v>
      </c>
      <c r="C4" s="1">
        <v>48</v>
      </c>
      <c r="D4" s="1">
        <v>15</v>
      </c>
      <c r="E4" s="1">
        <v>25</v>
      </c>
      <c r="F4" s="1">
        <f t="shared" si="0"/>
        <v>88</v>
      </c>
      <c r="G4">
        <f t="shared" si="1"/>
        <v>48</v>
      </c>
      <c r="H4">
        <f t="shared" si="2"/>
        <v>15</v>
      </c>
      <c r="I4" s="6">
        <f t="shared" si="3"/>
        <v>29.333333333333332</v>
      </c>
      <c r="J4" s="6">
        <f t="shared" si="4"/>
        <v>29.333333333333332</v>
      </c>
    </row>
    <row r="5" spans="1:10" x14ac:dyDescent="0.3">
      <c r="A5" s="1">
        <v>4</v>
      </c>
      <c r="B5" s="1" t="s">
        <v>9</v>
      </c>
      <c r="C5" s="1">
        <v>59</v>
      </c>
      <c r="D5" s="1">
        <v>80</v>
      </c>
      <c r="E5" s="1">
        <v>28</v>
      </c>
      <c r="F5" s="1">
        <f t="shared" si="0"/>
        <v>167</v>
      </c>
      <c r="G5">
        <f t="shared" si="1"/>
        <v>80</v>
      </c>
      <c r="H5">
        <f t="shared" si="2"/>
        <v>28</v>
      </c>
      <c r="I5" s="6">
        <f t="shared" si="3"/>
        <v>55.666666666666664</v>
      </c>
      <c r="J5" s="6">
        <f t="shared" si="4"/>
        <v>55.666666666666664</v>
      </c>
    </row>
    <row r="6" spans="1:10" x14ac:dyDescent="0.3">
      <c r="A6" s="1">
        <v>5</v>
      </c>
      <c r="B6" s="1" t="s">
        <v>10</v>
      </c>
      <c r="C6" s="1">
        <v>28</v>
      </c>
      <c r="D6" s="1">
        <v>76</v>
      </c>
      <c r="E6" s="1">
        <v>83</v>
      </c>
      <c r="F6" s="1">
        <f t="shared" si="0"/>
        <v>187</v>
      </c>
      <c r="G6">
        <f t="shared" si="1"/>
        <v>83</v>
      </c>
      <c r="H6">
        <f t="shared" si="2"/>
        <v>28</v>
      </c>
      <c r="I6" s="6">
        <f t="shared" si="3"/>
        <v>62.333333333333336</v>
      </c>
      <c r="J6" s="6">
        <f t="shared" si="4"/>
        <v>62.333333333333329</v>
      </c>
    </row>
    <row r="7" spans="1:10" x14ac:dyDescent="0.3">
      <c r="F7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B016F-5EA0-41A6-AF33-3E0452914CAE}">
  <dimension ref="A1:H51"/>
  <sheetViews>
    <sheetView tabSelected="1" zoomScale="160" zoomScaleNormal="160" workbookViewId="0">
      <selection activeCell="C15" sqref="C15"/>
    </sheetView>
  </sheetViews>
  <sheetFormatPr defaultRowHeight="14.4" x14ac:dyDescent="0.3"/>
  <cols>
    <col min="1" max="1" width="13" bestFit="1" customWidth="1"/>
    <col min="2" max="2" width="10.44140625" bestFit="1" customWidth="1"/>
    <col min="3" max="3" width="14.6640625" bestFit="1" customWidth="1"/>
    <col min="4" max="4" width="11.21875" bestFit="1" customWidth="1"/>
    <col min="5" max="5" width="9.5546875" bestFit="1" customWidth="1"/>
    <col min="6" max="6" width="12.77734375" bestFit="1" customWidth="1"/>
    <col min="7" max="7" width="10" bestFit="1" customWidth="1"/>
    <col min="8" max="8" width="9.77734375" bestFit="1" customWidth="1"/>
  </cols>
  <sheetData>
    <row r="1" spans="1:8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</row>
    <row r="2" spans="1:8" x14ac:dyDescent="0.3">
      <c r="A2" t="s">
        <v>19</v>
      </c>
      <c r="B2" t="s">
        <v>20</v>
      </c>
      <c r="C2" t="s">
        <v>21</v>
      </c>
      <c r="D2" t="s">
        <v>22</v>
      </c>
      <c r="E2">
        <v>2</v>
      </c>
      <c r="F2">
        <v>25187</v>
      </c>
      <c r="G2">
        <v>50374</v>
      </c>
      <c r="H2" t="s">
        <v>23</v>
      </c>
    </row>
    <row r="3" spans="1:8" x14ac:dyDescent="0.3">
      <c r="A3" t="s">
        <v>24</v>
      </c>
      <c r="B3" t="s">
        <v>25</v>
      </c>
      <c r="C3" t="s">
        <v>26</v>
      </c>
      <c r="D3" t="s">
        <v>27</v>
      </c>
      <c r="E3">
        <v>1</v>
      </c>
      <c r="F3">
        <v>39672</v>
      </c>
      <c r="G3">
        <v>39672</v>
      </c>
      <c r="H3" t="s">
        <v>28</v>
      </c>
    </row>
    <row r="4" spans="1:8" x14ac:dyDescent="0.3">
      <c r="A4" t="s">
        <v>29</v>
      </c>
      <c r="B4" t="s">
        <v>30</v>
      </c>
      <c r="C4" t="s">
        <v>31</v>
      </c>
      <c r="D4" t="s">
        <v>32</v>
      </c>
      <c r="E4">
        <v>3</v>
      </c>
      <c r="F4">
        <v>21025</v>
      </c>
      <c r="G4">
        <v>63075</v>
      </c>
      <c r="H4" t="s">
        <v>33</v>
      </c>
    </row>
    <row r="5" spans="1:8" x14ac:dyDescent="0.3">
      <c r="A5" t="s">
        <v>34</v>
      </c>
      <c r="B5" t="s">
        <v>35</v>
      </c>
      <c r="C5" t="s">
        <v>36</v>
      </c>
      <c r="D5" t="s">
        <v>32</v>
      </c>
      <c r="E5">
        <v>5</v>
      </c>
      <c r="F5">
        <v>9236</v>
      </c>
      <c r="G5">
        <v>46180</v>
      </c>
      <c r="H5" t="s">
        <v>23</v>
      </c>
    </row>
    <row r="6" spans="1:8" x14ac:dyDescent="0.3">
      <c r="A6" t="s">
        <v>37</v>
      </c>
      <c r="B6" t="s">
        <v>38</v>
      </c>
      <c r="C6" t="s">
        <v>39</v>
      </c>
      <c r="D6" t="s">
        <v>22</v>
      </c>
      <c r="E6">
        <v>1</v>
      </c>
      <c r="F6">
        <v>22955</v>
      </c>
      <c r="G6">
        <v>22955</v>
      </c>
      <c r="H6" t="s">
        <v>40</v>
      </c>
    </row>
    <row r="7" spans="1:8" x14ac:dyDescent="0.3">
      <c r="A7" t="s">
        <v>41</v>
      </c>
      <c r="B7" t="s">
        <v>42</v>
      </c>
      <c r="C7" t="s">
        <v>26</v>
      </c>
      <c r="D7" t="s">
        <v>43</v>
      </c>
      <c r="E7">
        <v>1</v>
      </c>
      <c r="F7">
        <v>20040</v>
      </c>
      <c r="G7">
        <v>20040</v>
      </c>
      <c r="H7" t="s">
        <v>44</v>
      </c>
    </row>
    <row r="8" spans="1:8" x14ac:dyDescent="0.3">
      <c r="A8" t="s">
        <v>45</v>
      </c>
      <c r="B8" t="s">
        <v>46</v>
      </c>
      <c r="C8" t="s">
        <v>31</v>
      </c>
      <c r="D8" t="s">
        <v>43</v>
      </c>
      <c r="E8">
        <v>7</v>
      </c>
      <c r="F8">
        <v>32236</v>
      </c>
      <c r="G8">
        <v>225652</v>
      </c>
      <c r="H8" t="s">
        <v>33</v>
      </c>
    </row>
    <row r="9" spans="1:8" x14ac:dyDescent="0.3">
      <c r="A9" t="s">
        <v>47</v>
      </c>
      <c r="B9" t="s">
        <v>48</v>
      </c>
      <c r="C9" t="s">
        <v>39</v>
      </c>
      <c r="D9" t="s">
        <v>43</v>
      </c>
      <c r="E9">
        <v>5</v>
      </c>
      <c r="F9">
        <v>40590</v>
      </c>
      <c r="G9">
        <v>202950</v>
      </c>
      <c r="H9" t="s">
        <v>28</v>
      </c>
    </row>
    <row r="10" spans="1:8" x14ac:dyDescent="0.3">
      <c r="A10" t="s">
        <v>49</v>
      </c>
      <c r="B10" t="s">
        <v>50</v>
      </c>
      <c r="C10" t="s">
        <v>39</v>
      </c>
      <c r="D10" t="s">
        <v>32</v>
      </c>
      <c r="E10">
        <v>3</v>
      </c>
      <c r="F10">
        <v>20756</v>
      </c>
      <c r="G10">
        <v>62268</v>
      </c>
      <c r="H10" t="s">
        <v>33</v>
      </c>
    </row>
    <row r="11" spans="1:8" x14ac:dyDescent="0.3">
      <c r="A11" t="s">
        <v>51</v>
      </c>
      <c r="B11" t="s">
        <v>52</v>
      </c>
      <c r="C11" t="s">
        <v>53</v>
      </c>
      <c r="D11" t="s">
        <v>22</v>
      </c>
      <c r="E11">
        <v>3</v>
      </c>
      <c r="F11">
        <v>48084</v>
      </c>
      <c r="G11">
        <v>144252</v>
      </c>
      <c r="H11" t="s">
        <v>40</v>
      </c>
    </row>
    <row r="12" spans="1:8" x14ac:dyDescent="0.3">
      <c r="A12" t="s">
        <v>54</v>
      </c>
      <c r="B12" t="s">
        <v>55</v>
      </c>
      <c r="C12" t="s">
        <v>56</v>
      </c>
      <c r="D12" t="s">
        <v>57</v>
      </c>
      <c r="E12">
        <v>9</v>
      </c>
      <c r="F12">
        <v>44080</v>
      </c>
      <c r="G12">
        <v>396720</v>
      </c>
      <c r="H12" t="s">
        <v>23</v>
      </c>
    </row>
    <row r="13" spans="1:8" x14ac:dyDescent="0.3">
      <c r="A13" t="s">
        <v>58</v>
      </c>
      <c r="B13" t="s">
        <v>59</v>
      </c>
      <c r="C13" t="s">
        <v>39</v>
      </c>
      <c r="D13" t="s">
        <v>43</v>
      </c>
      <c r="E13">
        <v>6</v>
      </c>
      <c r="F13">
        <v>20576</v>
      </c>
      <c r="G13">
        <v>123456</v>
      </c>
      <c r="H13" t="s">
        <v>40</v>
      </c>
    </row>
    <row r="14" spans="1:8" x14ac:dyDescent="0.3">
      <c r="A14" t="s">
        <v>60</v>
      </c>
      <c r="B14" t="s">
        <v>61</v>
      </c>
      <c r="C14" t="s">
        <v>53</v>
      </c>
      <c r="D14" t="s">
        <v>22</v>
      </c>
      <c r="E14">
        <v>6</v>
      </c>
      <c r="F14">
        <v>22895</v>
      </c>
      <c r="G14">
        <v>137370</v>
      </c>
      <c r="H14" t="s">
        <v>44</v>
      </c>
    </row>
    <row r="15" spans="1:8" x14ac:dyDescent="0.3">
      <c r="A15" t="s">
        <v>62</v>
      </c>
      <c r="B15" t="s">
        <v>63</v>
      </c>
      <c r="C15" t="s">
        <v>53</v>
      </c>
      <c r="D15" t="s">
        <v>64</v>
      </c>
      <c r="E15">
        <v>5</v>
      </c>
      <c r="F15">
        <v>43671</v>
      </c>
      <c r="G15">
        <v>218355</v>
      </c>
      <c r="H15" t="s">
        <v>44</v>
      </c>
    </row>
    <row r="16" spans="1:8" x14ac:dyDescent="0.3">
      <c r="A16" t="s">
        <v>65</v>
      </c>
      <c r="B16" t="s">
        <v>66</v>
      </c>
      <c r="C16" t="s">
        <v>36</v>
      </c>
      <c r="D16" t="s">
        <v>27</v>
      </c>
      <c r="E16">
        <v>8</v>
      </c>
      <c r="F16">
        <v>34169</v>
      </c>
      <c r="G16">
        <v>273352</v>
      </c>
      <c r="H16" t="s">
        <v>44</v>
      </c>
    </row>
    <row r="17" spans="1:8" x14ac:dyDescent="0.3">
      <c r="A17" t="s">
        <v>67</v>
      </c>
      <c r="B17" t="s">
        <v>68</v>
      </c>
      <c r="C17" t="s">
        <v>53</v>
      </c>
      <c r="D17" t="s">
        <v>57</v>
      </c>
      <c r="E17">
        <v>2</v>
      </c>
      <c r="F17">
        <v>20241</v>
      </c>
      <c r="G17">
        <v>40482</v>
      </c>
      <c r="H17" t="s">
        <v>28</v>
      </c>
    </row>
    <row r="18" spans="1:8" x14ac:dyDescent="0.3">
      <c r="A18" t="s">
        <v>69</v>
      </c>
      <c r="B18" t="s">
        <v>70</v>
      </c>
      <c r="C18" t="s">
        <v>71</v>
      </c>
      <c r="D18" t="s">
        <v>27</v>
      </c>
      <c r="E18">
        <v>7</v>
      </c>
      <c r="F18">
        <v>31140</v>
      </c>
      <c r="G18">
        <v>217980</v>
      </c>
      <c r="H18" t="s">
        <v>33</v>
      </c>
    </row>
    <row r="19" spans="1:8" x14ac:dyDescent="0.3">
      <c r="A19" t="s">
        <v>72</v>
      </c>
      <c r="B19" t="s">
        <v>73</v>
      </c>
      <c r="C19" t="s">
        <v>71</v>
      </c>
      <c r="D19" t="s">
        <v>57</v>
      </c>
      <c r="E19">
        <v>1</v>
      </c>
      <c r="F19">
        <v>15787</v>
      </c>
      <c r="G19">
        <v>15787</v>
      </c>
      <c r="H19" t="s">
        <v>40</v>
      </c>
    </row>
    <row r="20" spans="1:8" x14ac:dyDescent="0.3">
      <c r="A20" t="s">
        <v>74</v>
      </c>
      <c r="B20" t="s">
        <v>75</v>
      </c>
      <c r="C20" t="s">
        <v>53</v>
      </c>
      <c r="D20" t="s">
        <v>76</v>
      </c>
      <c r="E20">
        <v>4</v>
      </c>
      <c r="F20">
        <v>28810</v>
      </c>
      <c r="G20">
        <v>115240</v>
      </c>
      <c r="H20" t="s">
        <v>28</v>
      </c>
    </row>
    <row r="21" spans="1:8" x14ac:dyDescent="0.3">
      <c r="A21" t="s">
        <v>77</v>
      </c>
      <c r="B21" t="s">
        <v>78</v>
      </c>
      <c r="C21" t="s">
        <v>36</v>
      </c>
      <c r="D21" t="s">
        <v>22</v>
      </c>
      <c r="E21">
        <v>3</v>
      </c>
      <c r="F21">
        <v>26115</v>
      </c>
      <c r="G21">
        <v>78345</v>
      </c>
      <c r="H21" t="s">
        <v>79</v>
      </c>
    </row>
    <row r="22" spans="1:8" x14ac:dyDescent="0.3">
      <c r="A22" t="s">
        <v>80</v>
      </c>
      <c r="B22" t="s">
        <v>81</v>
      </c>
      <c r="C22" t="s">
        <v>39</v>
      </c>
      <c r="D22" t="s">
        <v>57</v>
      </c>
      <c r="E22">
        <v>5</v>
      </c>
      <c r="F22">
        <v>24148</v>
      </c>
      <c r="G22">
        <v>120740</v>
      </c>
      <c r="H22" t="s">
        <v>33</v>
      </c>
    </row>
    <row r="23" spans="1:8" x14ac:dyDescent="0.3">
      <c r="A23" t="s">
        <v>82</v>
      </c>
      <c r="B23" t="s">
        <v>46</v>
      </c>
      <c r="C23" t="s">
        <v>83</v>
      </c>
      <c r="D23" t="s">
        <v>57</v>
      </c>
      <c r="E23">
        <v>1</v>
      </c>
      <c r="F23">
        <v>49773</v>
      </c>
      <c r="G23">
        <v>49773</v>
      </c>
      <c r="H23" t="s">
        <v>23</v>
      </c>
    </row>
    <row r="24" spans="1:8" x14ac:dyDescent="0.3">
      <c r="A24" t="s">
        <v>84</v>
      </c>
      <c r="B24" t="s">
        <v>85</v>
      </c>
      <c r="C24" t="s">
        <v>71</v>
      </c>
      <c r="D24" t="s">
        <v>64</v>
      </c>
      <c r="E24">
        <v>2</v>
      </c>
      <c r="F24">
        <v>39966</v>
      </c>
      <c r="G24">
        <v>79932</v>
      </c>
      <c r="H24" t="s">
        <v>79</v>
      </c>
    </row>
    <row r="25" spans="1:8" x14ac:dyDescent="0.3">
      <c r="A25" t="s">
        <v>86</v>
      </c>
      <c r="B25" t="s">
        <v>87</v>
      </c>
      <c r="C25" t="s">
        <v>56</v>
      </c>
      <c r="D25" t="s">
        <v>22</v>
      </c>
      <c r="E25">
        <v>5</v>
      </c>
      <c r="F25">
        <v>20679</v>
      </c>
      <c r="G25">
        <v>103395</v>
      </c>
      <c r="H25" t="s">
        <v>33</v>
      </c>
    </row>
    <row r="26" spans="1:8" x14ac:dyDescent="0.3">
      <c r="A26" t="s">
        <v>88</v>
      </c>
      <c r="B26" t="s">
        <v>89</v>
      </c>
      <c r="C26" t="s">
        <v>71</v>
      </c>
      <c r="D26" t="s">
        <v>22</v>
      </c>
      <c r="E26">
        <v>2</v>
      </c>
      <c r="F26">
        <v>41545</v>
      </c>
      <c r="G26">
        <v>83090</v>
      </c>
      <c r="H26" t="s">
        <v>79</v>
      </c>
    </row>
    <row r="27" spans="1:8" x14ac:dyDescent="0.3">
      <c r="A27" t="s">
        <v>90</v>
      </c>
      <c r="B27" t="s">
        <v>91</v>
      </c>
      <c r="C27" t="s">
        <v>36</v>
      </c>
      <c r="D27" t="s">
        <v>32</v>
      </c>
      <c r="E27">
        <v>5</v>
      </c>
      <c r="F27">
        <v>8381</v>
      </c>
      <c r="G27">
        <v>41905</v>
      </c>
      <c r="H27" t="s">
        <v>40</v>
      </c>
    </row>
    <row r="28" spans="1:8" x14ac:dyDescent="0.3">
      <c r="A28" t="s">
        <v>92</v>
      </c>
      <c r="B28" t="s">
        <v>93</v>
      </c>
      <c r="C28" t="s">
        <v>31</v>
      </c>
      <c r="D28" t="s">
        <v>22</v>
      </c>
      <c r="E28">
        <v>10</v>
      </c>
      <c r="F28">
        <v>48992</v>
      </c>
      <c r="G28">
        <v>489920</v>
      </c>
      <c r="H28" t="s">
        <v>33</v>
      </c>
    </row>
    <row r="29" spans="1:8" x14ac:dyDescent="0.3">
      <c r="A29" t="s">
        <v>94</v>
      </c>
      <c r="B29" t="s">
        <v>95</v>
      </c>
      <c r="C29" t="s">
        <v>56</v>
      </c>
      <c r="D29" t="s">
        <v>96</v>
      </c>
      <c r="E29">
        <v>7</v>
      </c>
      <c r="F29">
        <v>27356</v>
      </c>
      <c r="G29">
        <v>191492</v>
      </c>
      <c r="H29" t="s">
        <v>23</v>
      </c>
    </row>
    <row r="30" spans="1:8" x14ac:dyDescent="0.3">
      <c r="A30" t="s">
        <v>97</v>
      </c>
      <c r="B30" t="s">
        <v>98</v>
      </c>
      <c r="C30" t="s">
        <v>21</v>
      </c>
      <c r="D30" t="s">
        <v>76</v>
      </c>
      <c r="E30">
        <v>4</v>
      </c>
      <c r="F30">
        <v>29120</v>
      </c>
      <c r="G30">
        <v>116480</v>
      </c>
      <c r="H30" t="s">
        <v>23</v>
      </c>
    </row>
    <row r="31" spans="1:8" x14ac:dyDescent="0.3">
      <c r="A31" t="s">
        <v>99</v>
      </c>
      <c r="B31" t="s">
        <v>100</v>
      </c>
      <c r="C31" t="s">
        <v>39</v>
      </c>
      <c r="D31" t="s">
        <v>22</v>
      </c>
      <c r="E31">
        <v>2</v>
      </c>
      <c r="F31">
        <v>5389</v>
      </c>
      <c r="G31">
        <v>10778</v>
      </c>
      <c r="H31" t="s">
        <v>33</v>
      </c>
    </row>
    <row r="32" spans="1:8" x14ac:dyDescent="0.3">
      <c r="A32" t="s">
        <v>101</v>
      </c>
      <c r="B32" t="s">
        <v>102</v>
      </c>
      <c r="C32" t="s">
        <v>36</v>
      </c>
      <c r="D32" t="s">
        <v>64</v>
      </c>
      <c r="E32">
        <v>8</v>
      </c>
      <c r="F32">
        <v>13385</v>
      </c>
      <c r="G32">
        <v>107080</v>
      </c>
      <c r="H32" t="s">
        <v>23</v>
      </c>
    </row>
    <row r="33" spans="1:8" x14ac:dyDescent="0.3">
      <c r="A33" t="s">
        <v>103</v>
      </c>
      <c r="B33" t="s">
        <v>52</v>
      </c>
      <c r="C33" t="s">
        <v>26</v>
      </c>
      <c r="D33" t="s">
        <v>27</v>
      </c>
      <c r="E33">
        <v>4</v>
      </c>
      <c r="F33">
        <v>15733</v>
      </c>
      <c r="G33">
        <v>62932</v>
      </c>
      <c r="H33" t="s">
        <v>28</v>
      </c>
    </row>
    <row r="34" spans="1:8" x14ac:dyDescent="0.3">
      <c r="A34" t="s">
        <v>104</v>
      </c>
      <c r="B34" t="s">
        <v>105</v>
      </c>
      <c r="C34" t="s">
        <v>21</v>
      </c>
      <c r="D34" t="s">
        <v>76</v>
      </c>
      <c r="E34">
        <v>2</v>
      </c>
      <c r="F34">
        <v>39386</v>
      </c>
      <c r="G34">
        <v>78772</v>
      </c>
      <c r="H34" t="s">
        <v>44</v>
      </c>
    </row>
    <row r="35" spans="1:8" x14ac:dyDescent="0.3">
      <c r="A35" t="s">
        <v>106</v>
      </c>
      <c r="B35" t="s">
        <v>107</v>
      </c>
      <c r="C35" t="s">
        <v>31</v>
      </c>
      <c r="D35" t="s">
        <v>64</v>
      </c>
      <c r="E35">
        <v>2</v>
      </c>
      <c r="F35">
        <v>18344</v>
      </c>
      <c r="G35">
        <v>36688</v>
      </c>
      <c r="H35" t="s">
        <v>28</v>
      </c>
    </row>
    <row r="36" spans="1:8" x14ac:dyDescent="0.3">
      <c r="A36" t="s">
        <v>108</v>
      </c>
      <c r="B36" t="s">
        <v>109</v>
      </c>
      <c r="C36" t="s">
        <v>31</v>
      </c>
      <c r="D36" t="s">
        <v>32</v>
      </c>
      <c r="E36">
        <v>6</v>
      </c>
      <c r="F36">
        <v>31522</v>
      </c>
      <c r="G36">
        <v>189132</v>
      </c>
      <c r="H36" t="s">
        <v>40</v>
      </c>
    </row>
    <row r="37" spans="1:8" x14ac:dyDescent="0.3">
      <c r="A37" t="s">
        <v>110</v>
      </c>
      <c r="B37" t="s">
        <v>111</v>
      </c>
      <c r="C37" t="s">
        <v>53</v>
      </c>
      <c r="D37" t="s">
        <v>57</v>
      </c>
      <c r="E37">
        <v>3</v>
      </c>
      <c r="F37">
        <v>4486</v>
      </c>
      <c r="G37">
        <v>13458</v>
      </c>
      <c r="H37" t="s">
        <v>33</v>
      </c>
    </row>
    <row r="38" spans="1:8" x14ac:dyDescent="0.3">
      <c r="A38" t="s">
        <v>112</v>
      </c>
      <c r="B38" t="s">
        <v>113</v>
      </c>
      <c r="C38" t="s">
        <v>31</v>
      </c>
      <c r="D38" t="s">
        <v>57</v>
      </c>
      <c r="E38">
        <v>6</v>
      </c>
      <c r="F38">
        <v>8543</v>
      </c>
      <c r="G38">
        <v>51258</v>
      </c>
      <c r="H38" t="s">
        <v>44</v>
      </c>
    </row>
    <row r="39" spans="1:8" x14ac:dyDescent="0.3">
      <c r="A39" t="s">
        <v>114</v>
      </c>
      <c r="B39" t="s">
        <v>115</v>
      </c>
      <c r="C39" t="s">
        <v>31</v>
      </c>
      <c r="D39" t="s">
        <v>57</v>
      </c>
      <c r="E39">
        <v>3</v>
      </c>
      <c r="F39">
        <v>1764</v>
      </c>
      <c r="G39">
        <v>5292</v>
      </c>
      <c r="H39" t="s">
        <v>28</v>
      </c>
    </row>
    <row r="40" spans="1:8" x14ac:dyDescent="0.3">
      <c r="A40" t="s">
        <v>116</v>
      </c>
      <c r="B40" t="s">
        <v>117</v>
      </c>
      <c r="C40" t="s">
        <v>36</v>
      </c>
      <c r="D40" t="s">
        <v>22</v>
      </c>
      <c r="E40">
        <v>6</v>
      </c>
      <c r="F40">
        <v>10333</v>
      </c>
      <c r="G40">
        <v>61998</v>
      </c>
      <c r="H40" t="s">
        <v>28</v>
      </c>
    </row>
    <row r="41" spans="1:8" x14ac:dyDescent="0.3">
      <c r="A41" t="s">
        <v>118</v>
      </c>
      <c r="B41" t="s">
        <v>119</v>
      </c>
      <c r="C41" t="s">
        <v>39</v>
      </c>
      <c r="D41" t="s">
        <v>96</v>
      </c>
      <c r="E41">
        <v>4</v>
      </c>
      <c r="F41">
        <v>20393</v>
      </c>
      <c r="G41">
        <v>81572</v>
      </c>
      <c r="H41" t="s">
        <v>28</v>
      </c>
    </row>
    <row r="42" spans="1:8" x14ac:dyDescent="0.3">
      <c r="A42" t="s">
        <v>120</v>
      </c>
      <c r="B42" t="s">
        <v>121</v>
      </c>
      <c r="C42" t="s">
        <v>31</v>
      </c>
      <c r="D42" t="s">
        <v>32</v>
      </c>
      <c r="E42">
        <v>5</v>
      </c>
      <c r="F42">
        <v>33106</v>
      </c>
      <c r="G42">
        <v>165530</v>
      </c>
      <c r="H42" t="s">
        <v>33</v>
      </c>
    </row>
    <row r="43" spans="1:8" x14ac:dyDescent="0.3">
      <c r="A43" t="s">
        <v>122</v>
      </c>
      <c r="B43" t="s">
        <v>123</v>
      </c>
      <c r="C43" t="s">
        <v>83</v>
      </c>
      <c r="D43" t="s">
        <v>96</v>
      </c>
      <c r="E43">
        <v>4</v>
      </c>
      <c r="F43">
        <v>20869</v>
      </c>
      <c r="G43">
        <v>83476</v>
      </c>
      <c r="H43" t="s">
        <v>40</v>
      </c>
    </row>
    <row r="44" spans="1:8" x14ac:dyDescent="0.3">
      <c r="A44" t="s">
        <v>124</v>
      </c>
      <c r="B44" t="s">
        <v>125</v>
      </c>
      <c r="C44" t="s">
        <v>26</v>
      </c>
      <c r="D44" t="s">
        <v>76</v>
      </c>
      <c r="E44">
        <v>1</v>
      </c>
      <c r="F44">
        <v>48777</v>
      </c>
      <c r="G44">
        <v>48777</v>
      </c>
      <c r="H44" t="s">
        <v>79</v>
      </c>
    </row>
    <row r="45" spans="1:8" x14ac:dyDescent="0.3">
      <c r="A45" t="s">
        <v>126</v>
      </c>
      <c r="B45" t="s">
        <v>127</v>
      </c>
      <c r="C45" t="s">
        <v>56</v>
      </c>
      <c r="D45" t="s">
        <v>96</v>
      </c>
      <c r="E45">
        <v>1</v>
      </c>
      <c r="F45">
        <v>31617</v>
      </c>
      <c r="G45">
        <v>31617</v>
      </c>
      <c r="H45" t="s">
        <v>23</v>
      </c>
    </row>
    <row r="46" spans="1:8" x14ac:dyDescent="0.3">
      <c r="A46" t="s">
        <v>128</v>
      </c>
      <c r="B46" t="s">
        <v>129</v>
      </c>
      <c r="C46" t="s">
        <v>56</v>
      </c>
      <c r="D46" t="s">
        <v>22</v>
      </c>
      <c r="E46">
        <v>3</v>
      </c>
      <c r="F46">
        <v>34052</v>
      </c>
      <c r="G46">
        <v>102156</v>
      </c>
      <c r="H46" t="s">
        <v>33</v>
      </c>
    </row>
    <row r="47" spans="1:8" x14ac:dyDescent="0.3">
      <c r="A47" t="s">
        <v>130</v>
      </c>
      <c r="B47" t="s">
        <v>123</v>
      </c>
      <c r="C47" t="s">
        <v>71</v>
      </c>
      <c r="D47" t="s">
        <v>43</v>
      </c>
      <c r="E47">
        <v>1</v>
      </c>
      <c r="F47">
        <v>38182</v>
      </c>
      <c r="G47">
        <v>38182</v>
      </c>
      <c r="H47" t="s">
        <v>40</v>
      </c>
    </row>
    <row r="48" spans="1:8" x14ac:dyDescent="0.3">
      <c r="A48" t="s">
        <v>131</v>
      </c>
      <c r="B48" t="s">
        <v>132</v>
      </c>
      <c r="C48" t="s">
        <v>31</v>
      </c>
      <c r="D48" t="s">
        <v>96</v>
      </c>
      <c r="E48">
        <v>10</v>
      </c>
      <c r="F48">
        <v>8242</v>
      </c>
      <c r="G48">
        <v>82420</v>
      </c>
      <c r="H48" t="s">
        <v>79</v>
      </c>
    </row>
    <row r="49" spans="1:8" x14ac:dyDescent="0.3">
      <c r="A49" t="s">
        <v>133</v>
      </c>
      <c r="B49" t="s">
        <v>134</v>
      </c>
      <c r="C49" t="s">
        <v>26</v>
      </c>
      <c r="D49" t="s">
        <v>96</v>
      </c>
      <c r="E49">
        <v>2</v>
      </c>
      <c r="F49">
        <v>3963</v>
      </c>
      <c r="G49">
        <v>7926</v>
      </c>
      <c r="H49" t="s">
        <v>40</v>
      </c>
    </row>
    <row r="50" spans="1:8" x14ac:dyDescent="0.3">
      <c r="A50" t="s">
        <v>135</v>
      </c>
      <c r="B50" t="s">
        <v>50</v>
      </c>
      <c r="C50" t="s">
        <v>56</v>
      </c>
      <c r="D50" t="s">
        <v>57</v>
      </c>
      <c r="E50">
        <v>10</v>
      </c>
      <c r="F50">
        <v>9575</v>
      </c>
      <c r="G50">
        <v>95750</v>
      </c>
      <c r="H50" t="s">
        <v>28</v>
      </c>
    </row>
    <row r="51" spans="1:8" x14ac:dyDescent="0.3">
      <c r="A51" t="s">
        <v>136</v>
      </c>
      <c r="B51" t="s">
        <v>137</v>
      </c>
      <c r="C51" t="s">
        <v>71</v>
      </c>
      <c r="D51" t="s">
        <v>27</v>
      </c>
      <c r="E51">
        <v>10</v>
      </c>
      <c r="F51">
        <v>32061</v>
      </c>
      <c r="G51">
        <v>320610</v>
      </c>
      <c r="H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2025-10-20T06:41:04Z</dcterms:created>
  <dcterms:modified xsi:type="dcterms:W3CDTF">2025-10-20T07:49:47Z</dcterms:modified>
</cp:coreProperties>
</file>